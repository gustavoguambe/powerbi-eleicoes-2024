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 Guambe\Documents\"/>
    </mc:Choice>
  </mc:AlternateContent>
  <xr:revisionPtr revIDLastSave="0" documentId="13_ncr:1_{D8FCB092-5CE8-405E-89D0-36ABD99C5A77}" xr6:coauthVersionLast="43" xr6:coauthVersionMax="43" xr10:uidLastSave="{00000000-0000-0000-0000-000000000000}"/>
  <bookViews>
    <workbookView xWindow="-120" yWindow="-120" windowWidth="20730" windowHeight="11160" xr2:uid="{FC29D24F-7931-45D8-A99F-FA74B36974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14" i="1" l="1"/>
  <c r="E14" i="1"/>
  <c r="J13" i="1"/>
  <c r="E13" i="1"/>
  <c r="J12" i="1"/>
  <c r="E12" i="1"/>
  <c r="J11" i="1"/>
  <c r="E11" i="1"/>
  <c r="J10" i="1"/>
  <c r="E10" i="1"/>
  <c r="J9" i="1"/>
  <c r="E9" i="1"/>
  <c r="J8" i="1"/>
  <c r="E8" i="1"/>
  <c r="J7" i="1"/>
  <c r="E7" i="1"/>
  <c r="J6" i="1" l="1"/>
  <c r="E6" i="1"/>
  <c r="J5" i="1"/>
  <c r="E5" i="1"/>
  <c r="J4" i="1"/>
  <c r="E4" i="1"/>
  <c r="E3" i="1"/>
  <c r="J3" i="1"/>
  <c r="E2" i="1"/>
  <c r="J2" i="1"/>
</calcChain>
</file>

<file path=xl/sharedStrings.xml><?xml version="1.0" encoding="utf-8"?>
<sst xmlns="http://schemas.openxmlformats.org/spreadsheetml/2006/main" count="25" uniqueCount="25">
  <si>
    <t>Nr</t>
  </si>
  <si>
    <t>Província</t>
  </si>
  <si>
    <t>Eleitores Inscritos</t>
  </si>
  <si>
    <t>Eleitores Votantes</t>
  </si>
  <si>
    <t>Abstenções</t>
  </si>
  <si>
    <t>Lutero Chimbirombiro Simango</t>
  </si>
  <si>
    <t>Daniel Francisco Chapo</t>
  </si>
  <si>
    <t>Venâncio António Bila Mondlane</t>
  </si>
  <si>
    <t>Ossufo Momade</t>
  </si>
  <si>
    <t>Votos Válidos</t>
  </si>
  <si>
    <t>Votos Nulos</t>
  </si>
  <si>
    <t xml:space="preserve">Votos em Branco </t>
  </si>
  <si>
    <t>Maputo Cidade</t>
  </si>
  <si>
    <t>Maputo Província</t>
  </si>
  <si>
    <t>Gaza</t>
  </si>
  <si>
    <t>Inhambane</t>
  </si>
  <si>
    <t>Sofala</t>
  </si>
  <si>
    <t>Manica</t>
  </si>
  <si>
    <t>Tete</t>
  </si>
  <si>
    <t>Zambézia</t>
  </si>
  <si>
    <t>Nampula</t>
  </si>
  <si>
    <t>Cabo Delgado</t>
  </si>
  <si>
    <t>Niassa</t>
  </si>
  <si>
    <t>África</t>
  </si>
  <si>
    <t>Resto do 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</si>
</sst>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D0260C-18AE-424D-ACB5-E6C239F81F28}" name="Table1" displayName="Table1" ref="A1:L14" totalsRowShown="0" headerRowDxfId="0">
  <autoFilter ref="A1:L14" xr:uid="{D28CFDB0-2ADB-45E4-9499-0E1CC6733D7B}"/>
  <tableColumns count="12">
    <tableColumn id="1" xr3:uid="{7182F405-9702-4BFB-9346-50955CC15960}" name="Nr"/>
    <tableColumn id="2" xr3:uid="{D80AA2CD-7123-47A2-ACBC-AD2B433DBFB8}" name="Província" dataDxfId="11"/>
    <tableColumn id="3" xr3:uid="{8769EB8D-042F-42AA-942B-6D3AA1D4A110}" name="Eleitores Inscritos" dataDxfId="10"/>
    <tableColumn id="4" xr3:uid="{F95C6274-0CFE-4BEF-9364-1424EB76550B}" name="Eleitores Votantes" dataDxfId="9"/>
    <tableColumn id="5" xr3:uid="{57DDCF0B-270A-4BDC-A6A9-3E62C4AD38AA}" name="Abstenções" dataDxfId="8">
      <calculatedColumnFormula>C2-D2</calculatedColumnFormula>
    </tableColumn>
    <tableColumn id="6" xr3:uid="{5AB86300-D47C-4BC3-8058-D35474551DB6}" name="Lutero Chimbirombiro Simango" dataDxfId="7"/>
    <tableColumn id="7" xr3:uid="{E8B15B37-72AD-47CB-BBC9-BB484BEF5E8E}" name="Daniel Francisco Chapo" dataDxfId="6"/>
    <tableColumn id="8" xr3:uid="{75BBE0DB-27FF-415F-8668-61DB81694AEB}" name="Venâncio António Bila Mondlane" dataDxfId="5"/>
    <tableColumn id="9" xr3:uid="{6A20676A-7DA1-4184-9D5B-1692BC402787}" name="Ossufo Momade" dataDxfId="4"/>
    <tableColumn id="10" xr3:uid="{D5CCC476-8A48-410B-AFB0-13965C9F165D}" name="Votos Válidos" dataDxfId="3">
      <calculatedColumnFormula>F2+G2+H2+I2</calculatedColumnFormula>
    </tableColumn>
    <tableColumn id="11" xr3:uid="{227BCD32-7DB9-4960-A7F7-168D1064EDAE}" name="Votos Nulos" dataDxfId="2"/>
    <tableColumn id="12" xr3:uid="{4351CBB2-A3C4-4A6E-BA22-D9B1C123DEAF}" name="Votos em Branco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E318E-2F39-4559-92FC-49BD865AE9B1}">
  <dimension ref="A1:L14"/>
  <sheetViews>
    <sheetView tabSelected="1" zoomScale="90" zoomScaleNormal="90" workbookViewId="0">
      <selection activeCell="F20" sqref="F20"/>
    </sheetView>
  </sheetViews>
  <sheetFormatPr defaultRowHeight="15" x14ac:dyDescent="0.25"/>
  <cols>
    <col min="2" max="2" width="18" customWidth="1"/>
    <col min="3" max="3" width="32.5703125" bestFit="1" customWidth="1"/>
    <col min="4" max="4" width="32.7109375" bestFit="1" customWidth="1"/>
    <col min="5" max="5" width="17" bestFit="1" customWidth="1"/>
    <col min="6" max="6" width="35" bestFit="1" customWidth="1"/>
    <col min="7" max="7" width="27.7109375" bestFit="1" customWidth="1"/>
    <col min="8" max="8" width="36.28515625" bestFit="1" customWidth="1"/>
    <col min="9" max="9" width="21.5703125" bestFit="1" customWidth="1"/>
    <col min="10" max="10" width="18.85546875" customWidth="1"/>
    <col min="11" max="11" width="21.7109375" bestFit="1" customWidth="1"/>
    <col min="12" max="12" width="18.7109375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>
        <v>1</v>
      </c>
      <c r="B2" s="1" t="s">
        <v>12</v>
      </c>
      <c r="C2" s="2">
        <v>676757</v>
      </c>
      <c r="D2" s="2">
        <v>426389</v>
      </c>
      <c r="E2" s="2">
        <f>C2-D2</f>
        <v>250368</v>
      </c>
      <c r="F2" s="2">
        <v>10893</v>
      </c>
      <c r="G2" s="2">
        <v>204117</v>
      </c>
      <c r="H2" s="2">
        <v>128669</v>
      </c>
      <c r="I2" s="2">
        <v>36560</v>
      </c>
      <c r="J2" s="2">
        <f>F2+G2+H2+I2</f>
        <v>380239</v>
      </c>
      <c r="K2" s="2">
        <v>17234</v>
      </c>
      <c r="L2" s="2">
        <v>28916</v>
      </c>
    </row>
    <row r="3" spans="1:12" x14ac:dyDescent="0.25">
      <c r="A3">
        <v>2</v>
      </c>
      <c r="B3" s="1" t="s">
        <v>13</v>
      </c>
      <c r="C3" s="2">
        <v>1569530</v>
      </c>
      <c r="D3" s="2">
        <v>1005682</v>
      </c>
      <c r="E3" s="2">
        <f>C3-D3</f>
        <v>563848</v>
      </c>
      <c r="F3" s="2">
        <v>23612</v>
      </c>
      <c r="G3" s="2">
        <v>656056</v>
      </c>
      <c r="H3" s="2">
        <v>260792</v>
      </c>
      <c r="I3" s="2">
        <v>24112</v>
      </c>
      <c r="J3" s="2">
        <f>F3+G3+H3+I3</f>
        <v>964572</v>
      </c>
      <c r="K3" s="2">
        <v>23740</v>
      </c>
      <c r="L3" s="2">
        <v>17370</v>
      </c>
    </row>
    <row r="4" spans="1:12" x14ac:dyDescent="0.25">
      <c r="A4">
        <v>3</v>
      </c>
      <c r="B4" s="1" t="s">
        <v>14</v>
      </c>
      <c r="C4" s="2">
        <v>1198262</v>
      </c>
      <c r="D4" s="2">
        <v>602340</v>
      </c>
      <c r="E4" s="2">
        <f>C4-D4</f>
        <v>595922</v>
      </c>
      <c r="F4" s="2">
        <v>13404</v>
      </c>
      <c r="G4" s="2">
        <v>487275</v>
      </c>
      <c r="H4" s="2">
        <v>66071</v>
      </c>
      <c r="I4" s="2">
        <v>9288</v>
      </c>
      <c r="J4" s="2">
        <f>F4+G4+H4+I4</f>
        <v>576038</v>
      </c>
      <c r="K4" s="2">
        <v>16229</v>
      </c>
      <c r="L4" s="2">
        <v>10073</v>
      </c>
    </row>
    <row r="5" spans="1:12" x14ac:dyDescent="0.25">
      <c r="A5">
        <v>4</v>
      </c>
      <c r="B5" s="1" t="s">
        <v>15</v>
      </c>
      <c r="C5" s="2">
        <v>1002723</v>
      </c>
      <c r="D5" s="2">
        <v>433219</v>
      </c>
      <c r="E5" s="2">
        <f>C5-D5</f>
        <v>569504</v>
      </c>
      <c r="F5" s="2">
        <v>13577</v>
      </c>
      <c r="G5" s="2">
        <v>300298</v>
      </c>
      <c r="H5" s="2">
        <v>81525</v>
      </c>
      <c r="I5" s="2">
        <v>15094</v>
      </c>
      <c r="J5" s="2">
        <f>F5+G5+H5+I5</f>
        <v>410494</v>
      </c>
      <c r="K5" s="2">
        <v>12750</v>
      </c>
      <c r="L5" s="2">
        <v>9975</v>
      </c>
    </row>
    <row r="6" spans="1:12" x14ac:dyDescent="0.25">
      <c r="A6">
        <v>5</v>
      </c>
      <c r="B6" s="1" t="s">
        <v>16</v>
      </c>
      <c r="C6" s="2">
        <v>1293158</v>
      </c>
      <c r="D6" s="2">
        <v>670870</v>
      </c>
      <c r="E6" s="2">
        <f>C6-D6</f>
        <v>622288</v>
      </c>
      <c r="F6" s="2">
        <v>42937</v>
      </c>
      <c r="G6" s="2">
        <v>405481</v>
      </c>
      <c r="H6" s="2">
        <v>150187</v>
      </c>
      <c r="I6" s="2">
        <v>20114</v>
      </c>
      <c r="J6" s="2">
        <f>F6+G6+H6+I6</f>
        <v>618719</v>
      </c>
      <c r="K6" s="2">
        <v>32126</v>
      </c>
      <c r="L6" s="2">
        <v>20025</v>
      </c>
    </row>
    <row r="7" spans="1:12" x14ac:dyDescent="0.25">
      <c r="A7">
        <v>6</v>
      </c>
      <c r="B7" s="1" t="s">
        <v>17</v>
      </c>
      <c r="C7" s="2">
        <v>1128189</v>
      </c>
      <c r="D7" s="2">
        <v>570555</v>
      </c>
      <c r="E7" s="2">
        <f>C7-D7</f>
        <v>557634</v>
      </c>
      <c r="F7" s="2">
        <v>14027</v>
      </c>
      <c r="G7" s="2">
        <v>354322</v>
      </c>
      <c r="H7" s="2">
        <v>130925</v>
      </c>
      <c r="I7" s="2">
        <v>31867</v>
      </c>
      <c r="J7" s="2">
        <f>F7+G7+H7+I7</f>
        <v>531141</v>
      </c>
      <c r="K7" s="2">
        <v>18161</v>
      </c>
      <c r="L7" s="2">
        <v>21253</v>
      </c>
    </row>
    <row r="8" spans="1:12" x14ac:dyDescent="0.25">
      <c r="A8">
        <v>7</v>
      </c>
      <c r="B8" s="1" t="s">
        <v>18</v>
      </c>
      <c r="C8" s="2">
        <v>1556938</v>
      </c>
      <c r="D8" s="2">
        <v>922956</v>
      </c>
      <c r="E8" s="2">
        <f>C8-D8</f>
        <v>633982</v>
      </c>
      <c r="F8" s="2">
        <v>15923</v>
      </c>
      <c r="G8" s="2">
        <v>733281</v>
      </c>
      <c r="H8" s="2">
        <v>94116</v>
      </c>
      <c r="I8" s="2">
        <v>25299</v>
      </c>
      <c r="J8" s="2">
        <f>F8+G8+H8+I8</f>
        <v>868619</v>
      </c>
      <c r="K8" s="2">
        <v>34726</v>
      </c>
      <c r="L8" s="2">
        <v>19611</v>
      </c>
    </row>
    <row r="9" spans="1:12" x14ac:dyDescent="0.25">
      <c r="A9">
        <v>8</v>
      </c>
      <c r="B9" s="1" t="s">
        <v>19</v>
      </c>
      <c r="C9" s="2">
        <v>2863308</v>
      </c>
      <c r="D9" s="2">
        <v>956609</v>
      </c>
      <c r="E9" s="2">
        <f>C9-D9</f>
        <v>1906699</v>
      </c>
      <c r="F9" s="2">
        <v>26475</v>
      </c>
      <c r="G9" s="2">
        <v>644702</v>
      </c>
      <c r="H9" s="2">
        <v>125182</v>
      </c>
      <c r="I9" s="2">
        <v>86762</v>
      </c>
      <c r="J9" s="2">
        <f>F9+G9+H9+I9</f>
        <v>883121</v>
      </c>
      <c r="K9" s="2">
        <v>27924</v>
      </c>
      <c r="L9" s="2">
        <v>45564</v>
      </c>
    </row>
    <row r="10" spans="1:12" x14ac:dyDescent="0.25">
      <c r="A10">
        <v>9</v>
      </c>
      <c r="B10" s="1" t="s">
        <v>20</v>
      </c>
      <c r="C10" s="2">
        <v>3266882</v>
      </c>
      <c r="D10" s="2">
        <v>927996</v>
      </c>
      <c r="E10" s="2">
        <f>C10-D10</f>
        <v>2338886</v>
      </c>
      <c r="F10" s="2">
        <v>31070</v>
      </c>
      <c r="G10" s="2">
        <v>504786</v>
      </c>
      <c r="H10" s="2">
        <v>216826</v>
      </c>
      <c r="I10" s="2">
        <v>94606</v>
      </c>
      <c r="J10" s="2">
        <f>F10+G10+H10+I10</f>
        <v>847288</v>
      </c>
      <c r="K10" s="2">
        <v>28226</v>
      </c>
      <c r="L10" s="2">
        <v>52482</v>
      </c>
    </row>
    <row r="11" spans="1:12" x14ac:dyDescent="0.25">
      <c r="A11">
        <v>10</v>
      </c>
      <c r="B11" s="1" t="s">
        <v>21</v>
      </c>
      <c r="C11" s="2">
        <v>1407467</v>
      </c>
      <c r="D11" s="2">
        <v>481249</v>
      </c>
      <c r="E11" s="2">
        <f>C11-D11</f>
        <v>926218</v>
      </c>
      <c r="F11" s="2">
        <v>17076</v>
      </c>
      <c r="G11" s="2">
        <v>281507</v>
      </c>
      <c r="H11" s="2">
        <v>96843</v>
      </c>
      <c r="I11" s="2">
        <v>32331</v>
      </c>
      <c r="J11" s="2">
        <f>F11+G11+H11+I11</f>
        <v>427757</v>
      </c>
      <c r="K11" s="2">
        <v>17979</v>
      </c>
      <c r="L11" s="2">
        <v>35513</v>
      </c>
    </row>
    <row r="12" spans="1:12" x14ac:dyDescent="0.25">
      <c r="A12">
        <v>11</v>
      </c>
      <c r="B12" s="1" t="s">
        <v>22</v>
      </c>
      <c r="C12" s="2">
        <v>872186</v>
      </c>
      <c r="D12" s="2">
        <v>287080</v>
      </c>
      <c r="E12" s="2">
        <f>C12-D12</f>
        <v>585106</v>
      </c>
      <c r="F12" s="2">
        <v>9615</v>
      </c>
      <c r="G12" s="2">
        <v>184467</v>
      </c>
      <c r="H12" s="2">
        <v>49515</v>
      </c>
      <c r="I12" s="2">
        <v>23957</v>
      </c>
      <c r="J12" s="2">
        <f>F12+G12+H12+I12</f>
        <v>267554</v>
      </c>
      <c r="K12" s="2">
        <v>7493</v>
      </c>
      <c r="L12" s="2">
        <v>12033</v>
      </c>
    </row>
    <row r="13" spans="1:12" x14ac:dyDescent="0.25">
      <c r="A13">
        <v>12</v>
      </c>
      <c r="B13" s="1" t="s">
        <v>23</v>
      </c>
      <c r="C13" s="2">
        <v>330092</v>
      </c>
      <c r="D13" s="2">
        <v>177762</v>
      </c>
      <c r="E13" s="2">
        <f>C13-D13</f>
        <v>152330</v>
      </c>
      <c r="F13" s="2">
        <v>4442</v>
      </c>
      <c r="G13" s="2">
        <v>155426</v>
      </c>
      <c r="H13" s="2">
        <v>10877</v>
      </c>
      <c r="I13" s="2">
        <v>3580</v>
      </c>
      <c r="J13" s="2">
        <f>F13+G13+H13+I13</f>
        <v>174325</v>
      </c>
      <c r="K13" s="2">
        <v>2416</v>
      </c>
      <c r="L13" s="2">
        <v>1021</v>
      </c>
    </row>
    <row r="14" spans="1:12" x14ac:dyDescent="0.25">
      <c r="A14">
        <v>13</v>
      </c>
      <c r="B14" s="1" t="s">
        <v>24</v>
      </c>
      <c r="C14" s="2">
        <v>3747</v>
      </c>
      <c r="D14" s="2">
        <v>2115</v>
      </c>
      <c r="E14" s="2">
        <f>C14-D14</f>
        <v>1632</v>
      </c>
      <c r="F14" s="2">
        <v>15</v>
      </c>
      <c r="G14" s="2">
        <v>1044</v>
      </c>
      <c r="H14" s="2">
        <v>989</v>
      </c>
      <c r="I14" s="2">
        <v>21</v>
      </c>
      <c r="J14" s="2">
        <f>F14+G14+H14+I14</f>
        <v>2069</v>
      </c>
      <c r="K14" s="2">
        <v>24</v>
      </c>
      <c r="L14" s="2">
        <v>22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Guambe</dc:creator>
  <cp:lastModifiedBy>Gustavo Guambe</cp:lastModifiedBy>
  <dcterms:created xsi:type="dcterms:W3CDTF">2025-11-06T13:21:13Z</dcterms:created>
  <dcterms:modified xsi:type="dcterms:W3CDTF">2025-11-06T16:23:10Z</dcterms:modified>
</cp:coreProperties>
</file>